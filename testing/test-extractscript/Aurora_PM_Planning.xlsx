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ackend API" sheetId="2" state="visible" r:id="rId4"/>
    <sheet name="Frontend App" sheetId="3" state="visible" r:id="rId5"/>
    <sheet name="Data Migration" sheetId="4" state="visible" r:id="rId6"/>
    <sheet name="QA &amp; Relea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<sst xmlns="http://schemas.openxmlformats.org/spreadsheetml/2006/main" count="232" uniqueCount="122">
  <si>
    <t xml:space="preserve">Aurora Platform Launch  —  Programme Overview</t>
  </si>
  <si>
    <t xml:space="preserve">Portfolio roll-up. Figures pull live from each project sheet — edit a task there and this table updates.</t>
  </si>
  <si>
    <t xml:space="preserve">#</t>
  </si>
  <si>
    <t xml:space="preserve">Project</t>
  </si>
  <si>
    <t xml:space="preserve">Owner</t>
  </si>
  <si>
    <t xml:space="preserve">Status</t>
  </si>
  <si>
    <t xml:space="preserve">Priority</t>
  </si>
  <si>
    <t xml:space="preserve">Tasks</t>
  </si>
  <si>
    <t xml:space="preserve">Est. Effort (d)</t>
  </si>
  <si>
    <t xml:space="preserve">Actual Effort (d)</t>
  </si>
  <si>
    <t xml:space="preserve">% Complete</t>
  </si>
  <si>
    <t xml:space="preserve">End Date</t>
  </si>
  <si>
    <t xml:space="preserve">Budget (d)</t>
  </si>
  <si>
    <t xml:space="preserve">Backend API</t>
  </si>
  <si>
    <t xml:space="preserve">Frontend App</t>
  </si>
  <si>
    <t xml:space="preserve">Data Migration</t>
  </si>
  <si>
    <t xml:space="preserve">QA &amp; Release</t>
  </si>
  <si>
    <t xml:space="preserve">PROGRAMME TOTAL</t>
  </si>
  <si>
    <t xml:space="preserve">Programme completion</t>
  </si>
  <si>
    <t xml:space="preserve">Effort logged vs. estimated</t>
  </si>
  <si>
    <t xml:space="preserve">Backend API  —  Aurora Platform Launch</t>
  </si>
  <si>
    <t xml:space="preserve">Project Information</t>
  </si>
  <si>
    <t xml:space="preserve">Project Owner</t>
  </si>
  <si>
    <t xml:space="preserve">Sarah Klein</t>
  </si>
  <si>
    <t xml:space="preserve">On Track</t>
  </si>
  <si>
    <t xml:space="preserve">High</t>
  </si>
  <si>
    <t xml:space="preserve">Phase</t>
  </si>
  <si>
    <t xml:space="preserve">Development</t>
  </si>
  <si>
    <t xml:space="preserve">Start Date</t>
  </si>
  <si>
    <t xml:space="preserve">Budget (days)</t>
  </si>
  <si>
    <t xml:space="preserve">Task ID</t>
  </si>
  <si>
    <t xml:space="preserve">Task Name</t>
  </si>
  <si>
    <t xml:space="preserve">Description</t>
  </si>
  <si>
    <t xml:space="preserve">Assignee</t>
  </si>
  <si>
    <t xml:space="preserve">Comments</t>
  </si>
  <si>
    <t xml:space="preserve">BE-01</t>
  </si>
  <si>
    <t xml:space="preserve">Auth service</t>
  </si>
  <si>
    <t xml:space="preserve">OAuth2 + JWT session handling</t>
  </si>
  <si>
    <t xml:space="preserve">Done</t>
  </si>
  <si>
    <t xml:space="preserve">Reused module from prior project</t>
  </si>
  <si>
    <t xml:space="preserve">BE-02</t>
  </si>
  <si>
    <t xml:space="preserve">User CRUD endpoints</t>
  </si>
  <si>
    <t xml:space="preserve">REST endpoints for user objects</t>
  </si>
  <si>
    <t xml:space="preserve">Marco Ruiz</t>
  </si>
  <si>
    <t xml:space="preserve">BE-03</t>
  </si>
  <si>
    <t xml:space="preserve">Rate limiting</t>
  </si>
  <si>
    <t xml:space="preserve">Redis-backed throttling middleware</t>
  </si>
  <si>
    <t xml:space="preserve">In Progress</t>
  </si>
  <si>
    <t xml:space="preserve">Tuning thresholds</t>
  </si>
  <si>
    <t xml:space="preserve">BE-04</t>
  </si>
  <si>
    <t xml:space="preserve">Billing integration</t>
  </si>
  <si>
    <t xml:space="preserve">Stripe webhooks + invoicing</t>
  </si>
  <si>
    <t xml:space="preserve">Blocked on vendor sandbox keys</t>
  </si>
  <si>
    <t xml:space="preserve">BE-05</t>
  </si>
  <si>
    <t xml:space="preserve">Search API</t>
  </si>
  <si>
    <t xml:space="preserve">Elastic-backed full-text search</t>
  </si>
  <si>
    <t xml:space="preserve">Priya Nair</t>
  </si>
  <si>
    <t xml:space="preserve">Not Started</t>
  </si>
  <si>
    <t xml:space="preserve">BE-06</t>
  </si>
  <si>
    <t xml:space="preserve">API docs</t>
  </si>
  <si>
    <t xml:space="preserve">OpenAPI spec + Swagger UI</t>
  </si>
  <si>
    <t xml:space="preserve">TOTAL</t>
  </si>
  <si>
    <t xml:space="preserve">Frontend App  —  Aurora Platform Launch</t>
  </si>
  <si>
    <t xml:space="preserve">Daniel Weber</t>
  </si>
  <si>
    <t xml:space="preserve">At Risk</t>
  </si>
  <si>
    <t xml:space="preserve">FE-01</t>
  </si>
  <si>
    <t xml:space="preserve">Design system</t>
  </si>
  <si>
    <t xml:space="preserve">Reusable component library + tokens</t>
  </si>
  <si>
    <t xml:space="preserve">Lena Fischer</t>
  </si>
  <si>
    <t xml:space="preserve">Overran by 1 day</t>
  </si>
  <si>
    <t xml:space="preserve">FE-02</t>
  </si>
  <si>
    <t xml:space="preserve">Onboarding flow</t>
  </si>
  <si>
    <t xml:space="preserve">Signup, email verify, first-run wizard</t>
  </si>
  <si>
    <t xml:space="preserve">FE-03</t>
  </si>
  <si>
    <t xml:space="preserve">Dashboard</t>
  </si>
  <si>
    <t xml:space="preserve">Charts + KPI widgets</t>
  </si>
  <si>
    <t xml:space="preserve">Waiting on BE-05 search API</t>
  </si>
  <si>
    <t xml:space="preserve">FE-04</t>
  </si>
  <si>
    <t xml:space="preserve">Billing screens</t>
  </si>
  <si>
    <t xml:space="preserve">Plan selection + payment UI</t>
  </si>
  <si>
    <t xml:space="preserve">Depends on BE-04</t>
  </si>
  <si>
    <t xml:space="preserve">FE-05</t>
  </si>
  <si>
    <t xml:space="preserve">Accessibility pass</t>
  </si>
  <si>
    <t xml:space="preserve">WCAG 2.1 AA audit + fixes</t>
  </si>
  <si>
    <t xml:space="preserve">FE-06</t>
  </si>
  <si>
    <t xml:space="preserve">Mobile responsive</t>
  </si>
  <si>
    <t xml:space="preserve">Breakpoints + touch targets</t>
  </si>
  <si>
    <t xml:space="preserve">Omar Haddad</t>
  </si>
  <si>
    <t xml:space="preserve">Data Migration  —  Aurora Platform Launch</t>
  </si>
  <si>
    <t xml:space="preserve">Medium</t>
  </si>
  <si>
    <t xml:space="preserve">Planning</t>
  </si>
  <si>
    <t xml:space="preserve">DM-01</t>
  </si>
  <si>
    <t xml:space="preserve">Source audit</t>
  </si>
  <si>
    <t xml:space="preserve">Catalogue legacy tables + owners</t>
  </si>
  <si>
    <t xml:space="preserve">DM-02</t>
  </si>
  <si>
    <t xml:space="preserve">Mapping spec</t>
  </si>
  <si>
    <t xml:space="preserve">Field-level mapping old-&gt;new schema</t>
  </si>
  <si>
    <t xml:space="preserve">DM-03</t>
  </si>
  <si>
    <t xml:space="preserve">ETL pipeline</t>
  </si>
  <si>
    <t xml:space="preserve">Extract/transform/load scripts</t>
  </si>
  <si>
    <t xml:space="preserve">DM-04</t>
  </si>
  <si>
    <t xml:space="preserve">Dry-run migration</t>
  </si>
  <si>
    <t xml:space="preserve">Full run against staging copy</t>
  </si>
  <si>
    <t xml:space="preserve">DM-05</t>
  </si>
  <si>
    <t xml:space="preserve">Cutover plan</t>
  </si>
  <si>
    <t xml:space="preserve">Runbook + rollback procedure</t>
  </si>
  <si>
    <t xml:space="preserve">QA &amp; Release  —  Aurora Platform Launch</t>
  </si>
  <si>
    <t xml:space="preserve">QA-01</t>
  </si>
  <si>
    <t xml:space="preserve">Test plan</t>
  </si>
  <si>
    <t xml:space="preserve">Scope, environments, exit criteria</t>
  </si>
  <si>
    <t xml:space="preserve">QA-02</t>
  </si>
  <si>
    <t xml:space="preserve">E2E test suite</t>
  </si>
  <si>
    <t xml:space="preserve">Playwright automation of key flows</t>
  </si>
  <si>
    <t xml:space="preserve">QA-03</t>
  </si>
  <si>
    <t xml:space="preserve">Load testing</t>
  </si>
  <si>
    <t xml:space="preserve">k6 scenarios + baseline report</t>
  </si>
  <si>
    <t xml:space="preserve">QA-04</t>
  </si>
  <si>
    <t xml:space="preserve">Security review</t>
  </si>
  <si>
    <t xml:space="preserve">Pen-test + dependency audit</t>
  </si>
  <si>
    <t xml:space="preserve">QA-05</t>
  </si>
  <si>
    <t xml:space="preserve">Release runbook</t>
  </si>
  <si>
    <t xml:space="preserve">Deploy steps + go/no-go checklist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</si>
</sst>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yyyy\-mm\-dd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2E5496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EAF0FA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A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s">
        <v>13</v>
      </c>
      <c r="C5" s="5" t="str">
        <f aca="false">'Backend API'!B4</f>
        <v>Sarah Klein</v>
      </c>
      <c r="D5" s="4" t="str">
        <f aca="false">'Backend API'!B5</f>
        <v>On Track</v>
      </c>
      <c r="E5" s="4" t="str">
        <f aca="false">'Backend API'!B6</f>
        <v>High</v>
      </c>
      <c r="F5" s="4" t="n">
        <v>6</v>
      </c>
      <c r="G5" s="4" t="n">
        <f aca="false">'Backend API'!E20</f>
        <v>40</v>
      </c>
      <c r="H5" s="4" t="n">
        <f aca="false">'Backend API'!F20</f>
        <v>20</v>
      </c>
      <c r="I5" s="6" t="n">
        <f aca="false">'Backend API'!G20</f>
        <v>0.53</v>
      </c>
      <c r="J5" s="7" t="n">
        <f aca="false">'Backend API'!B9</f>
        <v>46171</v>
      </c>
      <c r="K5" s="4" t="n">
        <f aca="false">'Backend API'!B10</f>
        <v>60</v>
      </c>
    </row>
    <row r="6" customFormat="false" ht="15" hidden="false" customHeight="false" outlineLevel="0" collapsed="false">
      <c r="A6" s="8" t="n">
        <v>2</v>
      </c>
      <c r="B6" s="9" t="s">
        <v>14</v>
      </c>
      <c r="C6" s="9" t="str">
        <f aca="false">'Frontend App'!B4</f>
        <v>Daniel Weber</v>
      </c>
      <c r="D6" s="8" t="str">
        <f aca="false">'Frontend App'!B5</f>
        <v>At Risk</v>
      </c>
      <c r="E6" s="8" t="str">
        <f aca="false">'Frontend App'!B6</f>
        <v>High</v>
      </c>
      <c r="F6" s="8" t="n">
        <v>6</v>
      </c>
      <c r="G6" s="8" t="n">
        <f aca="false">'Frontend App'!E20</f>
        <v>48</v>
      </c>
      <c r="H6" s="8" t="n">
        <f aca="false">'Frontend App'!F20</f>
        <v>21</v>
      </c>
      <c r="I6" s="10" t="n">
        <f aca="false">'Frontend App'!G20</f>
        <v>0.4</v>
      </c>
      <c r="J6" s="11" t="n">
        <f aca="false">'Frontend App'!B9</f>
        <v>46192</v>
      </c>
      <c r="K6" s="8" t="n">
        <f aca="false">'Frontend App'!B10</f>
        <v>55</v>
      </c>
    </row>
    <row r="7" customFormat="false" ht="15" hidden="false" customHeight="false" outlineLevel="0" collapsed="false">
      <c r="A7" s="4" t="n">
        <v>3</v>
      </c>
      <c r="B7" s="5" t="s">
        <v>15</v>
      </c>
      <c r="C7" s="5" t="str">
        <f aca="false">'Data Migration'!B4</f>
        <v>Priya Nair</v>
      </c>
      <c r="D7" s="4" t="str">
        <f aca="false">'Data Migration'!B5</f>
        <v>On Track</v>
      </c>
      <c r="E7" s="4" t="str">
        <f aca="false">'Data Migration'!B6</f>
        <v>Medium</v>
      </c>
      <c r="F7" s="4" t="n">
        <v>5</v>
      </c>
      <c r="G7" s="4" t="n">
        <f aca="false">'Data Migration'!E19</f>
        <v>29</v>
      </c>
      <c r="H7" s="4" t="n">
        <f aca="false">'Data Migration'!F19</f>
        <v>7</v>
      </c>
      <c r="I7" s="6" t="n">
        <f aca="false">'Data Migration'!G19</f>
        <v>0.23448275862069</v>
      </c>
      <c r="J7" s="7" t="n">
        <f aca="false">'Data Migration'!B9</f>
        <v>46213</v>
      </c>
      <c r="K7" s="4" t="n">
        <f aca="false">'Data Migration'!B10</f>
        <v>35</v>
      </c>
    </row>
    <row r="8" customFormat="false" ht="15" hidden="false" customHeight="false" outlineLevel="0" collapsed="false">
      <c r="A8" s="8" t="n">
        <v>4</v>
      </c>
      <c r="B8" s="9" t="s">
        <v>16</v>
      </c>
      <c r="C8" s="9" t="str">
        <f aca="false">'QA &amp; Release'!B4</f>
        <v>Omar Haddad</v>
      </c>
      <c r="D8" s="8" t="str">
        <f aca="false">'QA &amp; Release'!B5</f>
        <v>Not Started</v>
      </c>
      <c r="E8" s="8" t="str">
        <f aca="false">'QA &amp; Release'!B6</f>
        <v>Medium</v>
      </c>
      <c r="F8" s="8" t="n">
        <v>5</v>
      </c>
      <c r="G8" s="8" t="n">
        <f aca="false">'QA &amp; Release'!E19</f>
        <v>34</v>
      </c>
      <c r="H8" s="8" t="n">
        <f aca="false">'QA &amp; Release'!F19</f>
        <v>0</v>
      </c>
      <c r="I8" s="10" t="n">
        <f aca="false">'QA &amp; Release'!G19</f>
        <v>0</v>
      </c>
      <c r="J8" s="11" t="n">
        <f aca="false">'QA &amp; Release'!B9</f>
        <v>46234</v>
      </c>
      <c r="K8" s="8" t="n">
        <f aca="false">'QA &amp; Release'!B10</f>
        <v>40</v>
      </c>
    </row>
    <row r="9" customFormat="false" ht="15" hidden="false" customHeight="false" outlineLevel="0" collapsed="false">
      <c r="A9" s="12"/>
      <c r="B9" s="13" t="s">
        <v>17</v>
      </c>
      <c r="C9" s="12"/>
      <c r="D9" s="12"/>
      <c r="E9" s="12"/>
      <c r="F9" s="14" t="n">
        <f aca="false">SUM(F5:F8)</f>
        <v>22</v>
      </c>
      <c r="G9" s="14" t="n">
        <f aca="false">SUM(G5:G8)</f>
        <v>151</v>
      </c>
      <c r="H9" s="14" t="n">
        <f aca="false">SUM(H5:H8)</f>
        <v>48</v>
      </c>
      <c r="I9" s="15" t="n">
        <f aca="false">IFERROR(SUMPRODUCT(G5:G8,I5:I8)/SUM(G5:G8),0)</f>
        <v>0.312582781456954</v>
      </c>
      <c r="J9" s="12"/>
      <c r="K9" s="14" t="n">
        <f aca="false">SUM(K5:K8)</f>
        <v>190</v>
      </c>
    </row>
    <row r="11" customFormat="false" ht="15" hidden="false" customHeight="false" outlineLevel="0" collapsed="false">
      <c r="B11" s="16" t="s">
        <v>18</v>
      </c>
      <c r="D11" s="17" t="n">
        <f aca="false">I9</f>
        <v>0.312582781456954</v>
      </c>
    </row>
    <row r="12" customFormat="false" ht="15" hidden="false" customHeight="false" outlineLevel="0" collapsed="false">
      <c r="B12" s="16" t="s">
        <v>19</v>
      </c>
      <c r="D12" s="17" t="n">
        <f aca="false">IFERROR(H9/G9,0)</f>
        <v>0.317880794701987</v>
      </c>
    </row>
  </sheetData>
  <mergeCells count="2">
    <mergeCell ref="B1:K1"/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8" t="s">
        <v>21</v>
      </c>
    </row>
    <row r="4" customFormat="false" ht="23.85" hidden="false" customHeight="true" outlineLevel="0" collapsed="false">
      <c r="A4" s="19" t="s">
        <v>22</v>
      </c>
      <c r="B4" s="9" t="s">
        <v>23</v>
      </c>
      <c r="C4" s="9"/>
    </row>
    <row r="5" customFormat="false" ht="15" hidden="false" customHeight="true" outlineLevel="0" collapsed="false">
      <c r="A5" s="19" t="s">
        <v>5</v>
      </c>
      <c r="B5" s="9" t="s">
        <v>24</v>
      </c>
      <c r="C5" s="9"/>
    </row>
    <row r="6" customFormat="false" ht="15" hidden="false" customHeight="true" outlineLevel="0" collapsed="false">
      <c r="A6" s="19" t="s">
        <v>6</v>
      </c>
      <c r="B6" s="9" t="s">
        <v>25</v>
      </c>
      <c r="C6" s="9"/>
    </row>
    <row r="7" customFormat="false" ht="15" hidden="false" customHeight="true" outlineLevel="0" collapsed="false">
      <c r="A7" s="19" t="s">
        <v>26</v>
      </c>
      <c r="B7" s="9" t="s">
        <v>27</v>
      </c>
      <c r="C7" s="9"/>
    </row>
    <row r="8" customFormat="false" ht="15" hidden="false" customHeight="false" outlineLevel="0" collapsed="false">
      <c r="A8" s="19" t="s">
        <v>28</v>
      </c>
      <c r="B8" s="20" t="n">
        <v>46034</v>
      </c>
      <c r="C8" s="20"/>
    </row>
    <row r="9" customFormat="false" ht="15" hidden="false" customHeight="false" outlineLevel="0" collapsed="false">
      <c r="A9" s="19" t="s">
        <v>11</v>
      </c>
      <c r="B9" s="20" t="n">
        <v>46171</v>
      </c>
      <c r="C9" s="20"/>
    </row>
    <row r="10" customFormat="false" ht="23.85" hidden="false" customHeight="false" outlineLevel="0" collapsed="false">
      <c r="A10" s="19" t="s">
        <v>29</v>
      </c>
      <c r="B10" s="9" t="n">
        <v>60</v>
      </c>
      <c r="C10" s="9"/>
    </row>
    <row r="12" customFormat="false" ht="15" hidden="false" customHeight="false" outlineLevel="0" collapsed="false">
      <c r="A12" s="18" t="s">
        <v>7</v>
      </c>
    </row>
    <row r="13" customFormat="false" ht="30" hidden="false" customHeight="true" outlineLevel="0" collapsed="false">
      <c r="A13" s="3" t="s">
        <v>30</v>
      </c>
      <c r="B13" s="3" t="s">
        <v>31</v>
      </c>
      <c r="C13" s="3" t="s">
        <v>32</v>
      </c>
      <c r="D13" s="3" t="s">
        <v>33</v>
      </c>
      <c r="E13" s="3" t="s">
        <v>8</v>
      </c>
      <c r="F13" s="3" t="s">
        <v>9</v>
      </c>
      <c r="G13" s="3" t="s">
        <v>10</v>
      </c>
      <c r="H13" s="3" t="s">
        <v>5</v>
      </c>
      <c r="I13" s="3" t="s">
        <v>34</v>
      </c>
    </row>
    <row r="14" customFormat="false" ht="15" hidden="false" customHeight="false" outlineLevel="0" collapsed="false">
      <c r="A14" s="21" t="s">
        <v>35</v>
      </c>
      <c r="B14" s="22" t="s">
        <v>36</v>
      </c>
      <c r="C14" s="22" t="s">
        <v>37</v>
      </c>
      <c r="D14" s="22" t="s">
        <v>23</v>
      </c>
      <c r="E14" s="21" t="n">
        <v>8</v>
      </c>
      <c r="F14" s="21" t="n">
        <v>8</v>
      </c>
      <c r="G14" s="23" t="n">
        <v>1</v>
      </c>
      <c r="H14" s="21" t="s">
        <v>38</v>
      </c>
      <c r="I14" s="22" t="s">
        <v>39</v>
      </c>
    </row>
    <row r="15" customFormat="false" ht="15" hidden="false" customHeight="false" outlineLevel="0" collapsed="false">
      <c r="A15" s="4" t="s">
        <v>40</v>
      </c>
      <c r="B15" s="24" t="s">
        <v>41</v>
      </c>
      <c r="C15" s="24" t="s">
        <v>42</v>
      </c>
      <c r="D15" s="24" t="s">
        <v>43</v>
      </c>
      <c r="E15" s="4" t="n">
        <v>6</v>
      </c>
      <c r="F15" s="4" t="n">
        <v>5</v>
      </c>
      <c r="G15" s="6" t="n">
        <v>1</v>
      </c>
      <c r="H15" s="4" t="s">
        <v>38</v>
      </c>
      <c r="I15" s="24"/>
    </row>
    <row r="16" customFormat="false" ht="15" hidden="false" customHeight="false" outlineLevel="0" collapsed="false">
      <c r="A16" s="21" t="s">
        <v>44</v>
      </c>
      <c r="B16" s="22" t="s">
        <v>45</v>
      </c>
      <c r="C16" s="22" t="s">
        <v>46</v>
      </c>
      <c r="D16" s="22" t="s">
        <v>43</v>
      </c>
      <c r="E16" s="21" t="n">
        <v>4</v>
      </c>
      <c r="F16" s="21" t="n">
        <v>3</v>
      </c>
      <c r="G16" s="23" t="n">
        <v>0.8</v>
      </c>
      <c r="H16" s="21" t="s">
        <v>47</v>
      </c>
      <c r="I16" s="22" t="s">
        <v>48</v>
      </c>
    </row>
    <row r="17" customFormat="false" ht="15" hidden="false" customHeight="false" outlineLevel="0" collapsed="false">
      <c r="A17" s="4" t="s">
        <v>49</v>
      </c>
      <c r="B17" s="24" t="s">
        <v>50</v>
      </c>
      <c r="C17" s="24" t="s">
        <v>51</v>
      </c>
      <c r="D17" s="24" t="s">
        <v>23</v>
      </c>
      <c r="E17" s="4" t="n">
        <v>10</v>
      </c>
      <c r="F17" s="4" t="n">
        <v>4</v>
      </c>
      <c r="G17" s="6" t="n">
        <v>0.4</v>
      </c>
      <c r="H17" s="4" t="s">
        <v>47</v>
      </c>
      <c r="I17" s="24" t="s">
        <v>52</v>
      </c>
    </row>
    <row r="18" customFormat="false" ht="15" hidden="false" customHeight="false" outlineLevel="0" collapsed="false">
      <c r="A18" s="21" t="s">
        <v>53</v>
      </c>
      <c r="B18" s="22" t="s">
        <v>54</v>
      </c>
      <c r="C18" s="22" t="s">
        <v>55</v>
      </c>
      <c r="D18" s="22" t="s">
        <v>56</v>
      </c>
      <c r="E18" s="21" t="n">
        <v>9</v>
      </c>
      <c r="F18" s="21" t="n">
        <v>0</v>
      </c>
      <c r="G18" s="23" t="n">
        <v>0</v>
      </c>
      <c r="H18" s="21" t="s">
        <v>57</v>
      </c>
      <c r="I18" s="22"/>
    </row>
    <row r="19" customFormat="false" ht="15" hidden="false" customHeight="false" outlineLevel="0" collapsed="false">
      <c r="A19" s="4" t="s">
        <v>58</v>
      </c>
      <c r="B19" s="24" t="s">
        <v>59</v>
      </c>
      <c r="C19" s="24" t="s">
        <v>60</v>
      </c>
      <c r="D19" s="24" t="s">
        <v>43</v>
      </c>
      <c r="E19" s="4" t="n">
        <v>3</v>
      </c>
      <c r="F19" s="4" t="n">
        <v>0</v>
      </c>
      <c r="G19" s="6" t="n">
        <v>0</v>
      </c>
      <c r="H19" s="4" t="s">
        <v>57</v>
      </c>
      <c r="I19" s="24"/>
    </row>
    <row r="20" customFormat="false" ht="15" hidden="false" customHeight="false" outlineLevel="0" collapsed="false">
      <c r="A20" s="14" t="s">
        <v>61</v>
      </c>
      <c r="B20" s="12"/>
      <c r="C20" s="12"/>
      <c r="D20" s="12"/>
      <c r="E20" s="14" t="n">
        <f aca="false">SUM(E14:E19)</f>
        <v>40</v>
      </c>
      <c r="F20" s="14" t="n">
        <f aca="false">SUM(F14:F19)</f>
        <v>20</v>
      </c>
      <c r="G20" s="15" t="n">
        <f aca="false">IFERROR(SUMPRODUCT(E14:E19,G14:G19)/SUM(E14:E19),0)</f>
        <v>0.53</v>
      </c>
      <c r="H20" s="12"/>
      <c r="I20" s="12"/>
    </row>
  </sheetData>
  <mergeCells count="8">
    <mergeCell ref="A1:I1"/>
    <mergeCell ref="B4:C4"/>
    <mergeCell ref="B5:C5"/>
    <mergeCell ref="B6:C6"/>
    <mergeCell ref="B7:C7"/>
    <mergeCell ref="B8:C8"/>
    <mergeCell ref="B9:C9"/>
    <mergeCell ref="B10:C10"/>
  </mergeCells>
  <dataValidations count="3">
    <dataValidation allowBlank="true" errorStyle="stop" operator="between" showDropDown="false" showErrorMessage="false" showInputMessage="false" sqref="B5" type="list">
      <formula1>"Not Started,In Progress,Done,On Track,At Risk,Blocked,On Hold,Complete"</formula1>
      <formula2>0</formula2>
    </dataValidation>
    <dataValidation allowBlank="true" errorStyle="stop" operator="between" showDropDown="false" showErrorMessage="false" showInputMessage="false" sqref="B6" type="list">
      <formula1>"High,Medium,Low"</formula1>
      <formula2>0</formula2>
    </dataValidation>
    <dataValidation allowBlank="true" errorStyle="stop" operator="between" showDropDown="false" showErrorMessage="false" showInputMessage="false" sqref="H14:H19" type="list">
      <formula1>"Not Started,In Progress,Blocked,On Hold,Done"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8" t="s">
        <v>21</v>
      </c>
    </row>
    <row r="4" customFormat="false" ht="23.85" hidden="false" customHeight="true" outlineLevel="0" collapsed="false">
      <c r="A4" s="19" t="s">
        <v>22</v>
      </c>
      <c r="B4" s="9" t="s">
        <v>63</v>
      </c>
      <c r="C4" s="9"/>
    </row>
    <row r="5" customFormat="false" ht="15" hidden="false" customHeight="true" outlineLevel="0" collapsed="false">
      <c r="A5" s="19" t="s">
        <v>5</v>
      </c>
      <c r="B5" s="9" t="s">
        <v>64</v>
      </c>
      <c r="C5" s="9"/>
    </row>
    <row r="6" customFormat="false" ht="15" hidden="false" customHeight="true" outlineLevel="0" collapsed="false">
      <c r="A6" s="19" t="s">
        <v>6</v>
      </c>
      <c r="B6" s="9" t="s">
        <v>25</v>
      </c>
      <c r="C6" s="9"/>
    </row>
    <row r="7" customFormat="false" ht="15" hidden="false" customHeight="true" outlineLevel="0" collapsed="false">
      <c r="A7" s="19" t="s">
        <v>26</v>
      </c>
      <c r="B7" s="9" t="s">
        <v>27</v>
      </c>
      <c r="C7" s="9"/>
    </row>
    <row r="8" customFormat="false" ht="15" hidden="false" customHeight="false" outlineLevel="0" collapsed="false">
      <c r="A8" s="19" t="s">
        <v>28</v>
      </c>
      <c r="B8" s="20" t="n">
        <v>46048</v>
      </c>
      <c r="C8" s="20"/>
    </row>
    <row r="9" customFormat="false" ht="15" hidden="false" customHeight="false" outlineLevel="0" collapsed="false">
      <c r="A9" s="19" t="s">
        <v>11</v>
      </c>
      <c r="B9" s="20" t="n">
        <v>46192</v>
      </c>
      <c r="C9" s="20"/>
    </row>
    <row r="10" customFormat="false" ht="23.85" hidden="false" customHeight="false" outlineLevel="0" collapsed="false">
      <c r="A10" s="19" t="s">
        <v>29</v>
      </c>
      <c r="B10" s="9" t="n">
        <v>55</v>
      </c>
      <c r="C10" s="9"/>
    </row>
    <row r="12" customFormat="false" ht="15" hidden="false" customHeight="false" outlineLevel="0" collapsed="false">
      <c r="A12" s="18" t="s">
        <v>7</v>
      </c>
    </row>
    <row r="13" customFormat="false" ht="30" hidden="false" customHeight="true" outlineLevel="0" collapsed="false">
      <c r="A13" s="3" t="s">
        <v>30</v>
      </c>
      <c r="B13" s="3" t="s">
        <v>31</v>
      </c>
      <c r="C13" s="3" t="s">
        <v>32</v>
      </c>
      <c r="D13" s="3" t="s">
        <v>33</v>
      </c>
      <c r="E13" s="3" t="s">
        <v>8</v>
      </c>
      <c r="F13" s="3" t="s">
        <v>9</v>
      </c>
      <c r="G13" s="3" t="s">
        <v>10</v>
      </c>
      <c r="H13" s="3" t="s">
        <v>5</v>
      </c>
      <c r="I13" s="3" t="s">
        <v>34</v>
      </c>
    </row>
    <row r="14" customFormat="false" ht="15" hidden="false" customHeight="false" outlineLevel="0" collapsed="false">
      <c r="A14" s="21" t="s">
        <v>65</v>
      </c>
      <c r="B14" s="22" t="s">
        <v>66</v>
      </c>
      <c r="C14" s="22" t="s">
        <v>67</v>
      </c>
      <c r="D14" s="22" t="s">
        <v>68</v>
      </c>
      <c r="E14" s="21" t="n">
        <v>10</v>
      </c>
      <c r="F14" s="21" t="n">
        <v>11</v>
      </c>
      <c r="G14" s="23" t="n">
        <v>1</v>
      </c>
      <c r="H14" s="21" t="s">
        <v>38</v>
      </c>
      <c r="I14" s="22" t="s">
        <v>69</v>
      </c>
    </row>
    <row r="15" customFormat="false" ht="15" hidden="false" customHeight="false" outlineLevel="0" collapsed="false">
      <c r="A15" s="4" t="s">
        <v>70</v>
      </c>
      <c r="B15" s="24" t="s">
        <v>71</v>
      </c>
      <c r="C15" s="24" t="s">
        <v>72</v>
      </c>
      <c r="D15" s="24" t="s">
        <v>63</v>
      </c>
      <c r="E15" s="4" t="n">
        <v>8</v>
      </c>
      <c r="F15" s="4" t="n">
        <v>6</v>
      </c>
      <c r="G15" s="6" t="n">
        <v>0.7</v>
      </c>
      <c r="H15" s="4" t="s">
        <v>47</v>
      </c>
      <c r="I15" s="24"/>
    </row>
    <row r="16" customFormat="false" ht="15" hidden="false" customHeight="false" outlineLevel="0" collapsed="false">
      <c r="A16" s="21" t="s">
        <v>73</v>
      </c>
      <c r="B16" s="22" t="s">
        <v>74</v>
      </c>
      <c r="C16" s="22" t="s">
        <v>75</v>
      </c>
      <c r="D16" s="22" t="s">
        <v>68</v>
      </c>
      <c r="E16" s="21" t="n">
        <v>12</v>
      </c>
      <c r="F16" s="21" t="n">
        <v>4</v>
      </c>
      <c r="G16" s="23" t="n">
        <v>0.3</v>
      </c>
      <c r="H16" s="21" t="s">
        <v>47</v>
      </c>
      <c r="I16" s="22" t="s">
        <v>76</v>
      </c>
    </row>
    <row r="17" customFormat="false" ht="15" hidden="false" customHeight="false" outlineLevel="0" collapsed="false">
      <c r="A17" s="4" t="s">
        <v>77</v>
      </c>
      <c r="B17" s="24" t="s">
        <v>78</v>
      </c>
      <c r="C17" s="24" t="s">
        <v>79</v>
      </c>
      <c r="D17" s="24" t="s">
        <v>63</v>
      </c>
      <c r="E17" s="4" t="n">
        <v>7</v>
      </c>
      <c r="F17" s="4" t="n">
        <v>0</v>
      </c>
      <c r="G17" s="6" t="n">
        <v>0</v>
      </c>
      <c r="H17" s="4" t="s">
        <v>57</v>
      </c>
      <c r="I17" s="24" t="s">
        <v>80</v>
      </c>
    </row>
    <row r="18" customFormat="false" ht="15" hidden="false" customHeight="false" outlineLevel="0" collapsed="false">
      <c r="A18" s="21" t="s">
        <v>81</v>
      </c>
      <c r="B18" s="22" t="s">
        <v>82</v>
      </c>
      <c r="C18" s="22" t="s">
        <v>83</v>
      </c>
      <c r="D18" s="22" t="s">
        <v>68</v>
      </c>
      <c r="E18" s="21" t="n">
        <v>6</v>
      </c>
      <c r="F18" s="21" t="n">
        <v>0</v>
      </c>
      <c r="G18" s="23" t="n">
        <v>0</v>
      </c>
      <c r="H18" s="21" t="s">
        <v>57</v>
      </c>
      <c r="I18" s="22"/>
    </row>
    <row r="19" customFormat="false" ht="15" hidden="false" customHeight="false" outlineLevel="0" collapsed="false">
      <c r="A19" s="4" t="s">
        <v>84</v>
      </c>
      <c r="B19" s="24" t="s">
        <v>85</v>
      </c>
      <c r="C19" s="24" t="s">
        <v>86</v>
      </c>
      <c r="D19" s="24" t="s">
        <v>87</v>
      </c>
      <c r="E19" s="4" t="n">
        <v>5</v>
      </c>
      <c r="F19" s="4" t="n">
        <v>0</v>
      </c>
      <c r="G19" s="6" t="n">
        <v>0</v>
      </c>
      <c r="H19" s="4" t="s">
        <v>57</v>
      </c>
      <c r="I19" s="24"/>
    </row>
    <row r="20" customFormat="false" ht="15" hidden="false" customHeight="false" outlineLevel="0" collapsed="false">
      <c r="A20" s="14" t="s">
        <v>61</v>
      </c>
      <c r="B20" s="12"/>
      <c r="C20" s="12"/>
      <c r="D20" s="12"/>
      <c r="E20" s="14" t="n">
        <f aca="false">SUM(E14:E19)</f>
        <v>48</v>
      </c>
      <c r="F20" s="14" t="n">
        <f aca="false">SUM(F14:F19)</f>
        <v>21</v>
      </c>
      <c r="G20" s="15" t="n">
        <f aca="false">IFERROR(SUMPRODUCT(E14:E19,G14:G19)/SUM(E14:E19),0)</f>
        <v>0.4</v>
      </c>
      <c r="H20" s="12"/>
      <c r="I20" s="12"/>
    </row>
  </sheetData>
  <mergeCells count="8">
    <mergeCell ref="A1:I1"/>
    <mergeCell ref="B4:C4"/>
    <mergeCell ref="B5:C5"/>
    <mergeCell ref="B6:C6"/>
    <mergeCell ref="B7:C7"/>
    <mergeCell ref="B8:C8"/>
    <mergeCell ref="B9:C9"/>
    <mergeCell ref="B10:C10"/>
  </mergeCells>
  <dataValidations count="3">
    <dataValidation allowBlank="true" errorStyle="stop" operator="between" showDropDown="false" showErrorMessage="false" showInputMessage="false" sqref="B5" type="list">
      <formula1>"Not Started,In Progress,Done,On Track,At Risk,Blocked,On Hold,Complete"</formula1>
      <formula2>0</formula2>
    </dataValidation>
    <dataValidation allowBlank="true" errorStyle="stop" operator="between" showDropDown="false" showErrorMessage="false" showInputMessage="false" sqref="B6" type="list">
      <formula1>"High,Medium,Low"</formula1>
      <formula2>0</formula2>
    </dataValidation>
    <dataValidation allowBlank="true" errorStyle="stop" operator="between" showDropDown="false" showErrorMessage="false" showInputMessage="false" sqref="H14:H19" type="list">
      <formula1>"Not Started,In Progress,Blocked,On Hold,Done"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8" t="s">
        <v>21</v>
      </c>
    </row>
    <row r="4" customFormat="false" ht="23.85" hidden="false" customHeight="true" outlineLevel="0" collapsed="false">
      <c r="A4" s="19" t="s">
        <v>22</v>
      </c>
      <c r="B4" s="9" t="s">
        <v>56</v>
      </c>
      <c r="C4" s="9"/>
    </row>
    <row r="5" customFormat="false" ht="15" hidden="false" customHeight="true" outlineLevel="0" collapsed="false">
      <c r="A5" s="19" t="s">
        <v>5</v>
      </c>
      <c r="B5" s="9" t="s">
        <v>24</v>
      </c>
      <c r="C5" s="9"/>
    </row>
    <row r="6" customFormat="false" ht="15" hidden="false" customHeight="true" outlineLevel="0" collapsed="false">
      <c r="A6" s="19" t="s">
        <v>6</v>
      </c>
      <c r="B6" s="9" t="s">
        <v>89</v>
      </c>
      <c r="C6" s="9"/>
    </row>
    <row r="7" customFormat="false" ht="15" hidden="false" customHeight="true" outlineLevel="0" collapsed="false">
      <c r="A7" s="19" t="s">
        <v>26</v>
      </c>
      <c r="B7" s="9" t="s">
        <v>90</v>
      </c>
      <c r="C7" s="9"/>
    </row>
    <row r="8" customFormat="false" ht="15" hidden="false" customHeight="false" outlineLevel="0" collapsed="false">
      <c r="A8" s="19" t="s">
        <v>28</v>
      </c>
      <c r="B8" s="20" t="n">
        <v>46083</v>
      </c>
      <c r="C8" s="20"/>
    </row>
    <row r="9" customFormat="false" ht="15" hidden="false" customHeight="false" outlineLevel="0" collapsed="false">
      <c r="A9" s="19" t="s">
        <v>11</v>
      </c>
      <c r="B9" s="20" t="n">
        <v>46213</v>
      </c>
      <c r="C9" s="20"/>
    </row>
    <row r="10" customFormat="false" ht="23.85" hidden="false" customHeight="false" outlineLevel="0" collapsed="false">
      <c r="A10" s="19" t="s">
        <v>29</v>
      </c>
      <c r="B10" s="9" t="n">
        <v>35</v>
      </c>
      <c r="C10" s="9"/>
    </row>
    <row r="12" customFormat="false" ht="15" hidden="false" customHeight="false" outlineLevel="0" collapsed="false">
      <c r="A12" s="18" t="s">
        <v>7</v>
      </c>
    </row>
    <row r="13" customFormat="false" ht="30" hidden="false" customHeight="true" outlineLevel="0" collapsed="false">
      <c r="A13" s="3" t="s">
        <v>30</v>
      </c>
      <c r="B13" s="3" t="s">
        <v>31</v>
      </c>
      <c r="C13" s="3" t="s">
        <v>32</v>
      </c>
      <c r="D13" s="3" t="s">
        <v>33</v>
      </c>
      <c r="E13" s="3" t="s">
        <v>8</v>
      </c>
      <c r="F13" s="3" t="s">
        <v>9</v>
      </c>
      <c r="G13" s="3" t="s">
        <v>10</v>
      </c>
      <c r="H13" s="3" t="s">
        <v>5</v>
      </c>
      <c r="I13" s="3" t="s">
        <v>34</v>
      </c>
    </row>
    <row r="14" customFormat="false" ht="15" hidden="false" customHeight="false" outlineLevel="0" collapsed="false">
      <c r="A14" s="21" t="s">
        <v>91</v>
      </c>
      <c r="B14" s="22" t="s">
        <v>92</v>
      </c>
      <c r="C14" s="22" t="s">
        <v>93</v>
      </c>
      <c r="D14" s="22" t="s">
        <v>56</v>
      </c>
      <c r="E14" s="21" t="n">
        <v>5</v>
      </c>
      <c r="F14" s="21" t="n">
        <v>5</v>
      </c>
      <c r="G14" s="23" t="n">
        <v>1</v>
      </c>
      <c r="H14" s="21" t="s">
        <v>38</v>
      </c>
      <c r="I14" s="22"/>
    </row>
    <row r="15" customFormat="false" ht="15" hidden="false" customHeight="false" outlineLevel="0" collapsed="false">
      <c r="A15" s="4" t="s">
        <v>94</v>
      </c>
      <c r="B15" s="24" t="s">
        <v>95</v>
      </c>
      <c r="C15" s="24" t="s">
        <v>96</v>
      </c>
      <c r="D15" s="24" t="s">
        <v>56</v>
      </c>
      <c r="E15" s="4" t="n">
        <v>6</v>
      </c>
      <c r="F15" s="4" t="n">
        <v>2</v>
      </c>
      <c r="G15" s="6" t="n">
        <v>0.3</v>
      </c>
      <c r="H15" s="4" t="s">
        <v>47</v>
      </c>
      <c r="I15" s="24"/>
    </row>
    <row r="16" customFormat="false" ht="15" hidden="false" customHeight="false" outlineLevel="0" collapsed="false">
      <c r="A16" s="21" t="s">
        <v>97</v>
      </c>
      <c r="B16" s="22" t="s">
        <v>98</v>
      </c>
      <c r="C16" s="22" t="s">
        <v>99</v>
      </c>
      <c r="D16" s="22" t="s">
        <v>43</v>
      </c>
      <c r="E16" s="21" t="n">
        <v>9</v>
      </c>
      <c r="F16" s="21" t="n">
        <v>0</v>
      </c>
      <c r="G16" s="23" t="n">
        <v>0</v>
      </c>
      <c r="H16" s="21" t="s">
        <v>57</v>
      </c>
      <c r="I16" s="22"/>
    </row>
    <row r="17" customFormat="false" ht="15" hidden="false" customHeight="false" outlineLevel="0" collapsed="false">
      <c r="A17" s="4" t="s">
        <v>100</v>
      </c>
      <c r="B17" s="24" t="s">
        <v>101</v>
      </c>
      <c r="C17" s="24" t="s">
        <v>102</v>
      </c>
      <c r="D17" s="24" t="s">
        <v>56</v>
      </c>
      <c r="E17" s="4" t="n">
        <v>5</v>
      </c>
      <c r="F17" s="4" t="n">
        <v>0</v>
      </c>
      <c r="G17" s="6" t="n">
        <v>0</v>
      </c>
      <c r="H17" s="4" t="s">
        <v>57</v>
      </c>
      <c r="I17" s="24"/>
    </row>
    <row r="18" customFormat="false" ht="15" hidden="false" customHeight="false" outlineLevel="0" collapsed="false">
      <c r="A18" s="21" t="s">
        <v>103</v>
      </c>
      <c r="B18" s="22" t="s">
        <v>104</v>
      </c>
      <c r="C18" s="22" t="s">
        <v>105</v>
      </c>
      <c r="D18" s="22" t="s">
        <v>56</v>
      </c>
      <c r="E18" s="21" t="n">
        <v>4</v>
      </c>
      <c r="F18" s="21" t="n">
        <v>0</v>
      </c>
      <c r="G18" s="23" t="n">
        <v>0</v>
      </c>
      <c r="H18" s="21" t="s">
        <v>57</v>
      </c>
      <c r="I18" s="22"/>
    </row>
    <row r="19" customFormat="false" ht="15" hidden="false" customHeight="false" outlineLevel="0" collapsed="false">
      <c r="A19" s="14" t="s">
        <v>61</v>
      </c>
      <c r="B19" s="12"/>
      <c r="C19" s="12"/>
      <c r="D19" s="12"/>
      <c r="E19" s="14" t="n">
        <f aca="false">SUM(E14:E18)</f>
        <v>29</v>
      </c>
      <c r="F19" s="14" t="n">
        <f aca="false">SUM(F14:F18)</f>
        <v>7</v>
      </c>
      <c r="G19" s="15" t="n">
        <f aca="false">IFERROR(SUMPRODUCT(E14:E18,G14:G18)/SUM(E14:E18),0)</f>
        <v>0.23448275862069</v>
      </c>
      <c r="H19" s="12"/>
      <c r="I19" s="12"/>
    </row>
  </sheetData>
  <mergeCells count="8">
    <mergeCell ref="A1:I1"/>
    <mergeCell ref="B4:C4"/>
    <mergeCell ref="B5:C5"/>
    <mergeCell ref="B6:C6"/>
    <mergeCell ref="B7:C7"/>
    <mergeCell ref="B8:C8"/>
    <mergeCell ref="B9:C9"/>
    <mergeCell ref="B10:C10"/>
  </mergeCells>
  <dataValidations count="3">
    <dataValidation allowBlank="true" errorStyle="stop" operator="between" showDropDown="false" showErrorMessage="false" showInputMessage="false" sqref="B5" type="list">
      <formula1>"Not Started,In Progress,Done,On Track,At Risk,Blocked,On Hold,Complete"</formula1>
      <formula2>0</formula2>
    </dataValidation>
    <dataValidation allowBlank="true" errorStyle="stop" operator="between" showDropDown="false" showErrorMessage="false" showInputMessage="false" sqref="B6" type="list">
      <formula1>"High,Medium,Low"</formula1>
      <formula2>0</formula2>
    </dataValidation>
    <dataValidation allowBlank="true" errorStyle="stop" operator="between" showDropDown="false" showErrorMessage="false" showInputMessage="false" sqref="H14:H18" type="list">
      <formula1>"Not Started,In Progress,Blocked,On Hold,Done"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8" t="s">
        <v>21</v>
      </c>
    </row>
    <row r="4" customFormat="false" ht="23.85" hidden="false" customHeight="true" outlineLevel="0" collapsed="false">
      <c r="A4" s="19" t="s">
        <v>22</v>
      </c>
      <c r="B4" s="9" t="s">
        <v>87</v>
      </c>
      <c r="C4" s="9"/>
    </row>
    <row r="5" customFormat="false" ht="15" hidden="false" customHeight="true" outlineLevel="0" collapsed="false">
      <c r="A5" s="19" t="s">
        <v>5</v>
      </c>
      <c r="B5" s="9" t="s">
        <v>57</v>
      </c>
      <c r="C5" s="9"/>
    </row>
    <row r="6" customFormat="false" ht="15" hidden="false" customHeight="true" outlineLevel="0" collapsed="false">
      <c r="A6" s="19" t="s">
        <v>6</v>
      </c>
      <c r="B6" s="9" t="s">
        <v>89</v>
      </c>
      <c r="C6" s="9"/>
    </row>
    <row r="7" customFormat="false" ht="15" hidden="false" customHeight="true" outlineLevel="0" collapsed="false">
      <c r="A7" s="19" t="s">
        <v>26</v>
      </c>
      <c r="B7" s="9" t="s">
        <v>90</v>
      </c>
      <c r="C7" s="9"/>
    </row>
    <row r="8" customFormat="false" ht="15" hidden="false" customHeight="false" outlineLevel="0" collapsed="false">
      <c r="A8" s="19" t="s">
        <v>28</v>
      </c>
      <c r="B8" s="20" t="n">
        <v>46146</v>
      </c>
      <c r="C8" s="20"/>
    </row>
    <row r="9" customFormat="false" ht="15" hidden="false" customHeight="false" outlineLevel="0" collapsed="false">
      <c r="A9" s="19" t="s">
        <v>11</v>
      </c>
      <c r="B9" s="20" t="n">
        <v>46234</v>
      </c>
      <c r="C9" s="20"/>
    </row>
    <row r="10" customFormat="false" ht="23.85" hidden="false" customHeight="false" outlineLevel="0" collapsed="false">
      <c r="A10" s="19" t="s">
        <v>29</v>
      </c>
      <c r="B10" s="9" t="n">
        <v>40</v>
      </c>
      <c r="C10" s="9"/>
    </row>
    <row r="12" customFormat="false" ht="15" hidden="false" customHeight="false" outlineLevel="0" collapsed="false">
      <c r="A12" s="18" t="s">
        <v>7</v>
      </c>
    </row>
    <row r="13" customFormat="false" ht="30" hidden="false" customHeight="true" outlineLevel="0" collapsed="false">
      <c r="A13" s="3" t="s">
        <v>30</v>
      </c>
      <c r="B13" s="3" t="s">
        <v>31</v>
      </c>
      <c r="C13" s="3" t="s">
        <v>32</v>
      </c>
      <c r="D13" s="3" t="s">
        <v>33</v>
      </c>
      <c r="E13" s="3" t="s">
        <v>8</v>
      </c>
      <c r="F13" s="3" t="s">
        <v>9</v>
      </c>
      <c r="G13" s="3" t="s">
        <v>10</v>
      </c>
      <c r="H13" s="3" t="s">
        <v>5</v>
      </c>
      <c r="I13" s="3" t="s">
        <v>34</v>
      </c>
    </row>
    <row r="14" customFormat="false" ht="15" hidden="false" customHeight="false" outlineLevel="0" collapsed="false">
      <c r="A14" s="21" t="s">
        <v>107</v>
      </c>
      <c r="B14" s="22" t="s">
        <v>108</v>
      </c>
      <c r="C14" s="22" t="s">
        <v>109</v>
      </c>
      <c r="D14" s="22" t="s">
        <v>87</v>
      </c>
      <c r="E14" s="21" t="n">
        <v>4</v>
      </c>
      <c r="F14" s="21" t="n">
        <v>0</v>
      </c>
      <c r="G14" s="23" t="n">
        <v>0</v>
      </c>
      <c r="H14" s="21" t="s">
        <v>57</v>
      </c>
      <c r="I14" s="22"/>
    </row>
    <row r="15" customFormat="false" ht="15" hidden="false" customHeight="false" outlineLevel="0" collapsed="false">
      <c r="A15" s="4" t="s">
        <v>110</v>
      </c>
      <c r="B15" s="24" t="s">
        <v>111</v>
      </c>
      <c r="C15" s="24" t="s">
        <v>112</v>
      </c>
      <c r="D15" s="24" t="s">
        <v>87</v>
      </c>
      <c r="E15" s="4" t="n">
        <v>12</v>
      </c>
      <c r="F15" s="4" t="n">
        <v>0</v>
      </c>
      <c r="G15" s="6" t="n">
        <v>0</v>
      </c>
      <c r="H15" s="4" t="s">
        <v>57</v>
      </c>
      <c r="I15" s="24"/>
    </row>
    <row r="16" customFormat="false" ht="15" hidden="false" customHeight="false" outlineLevel="0" collapsed="false">
      <c r="A16" s="21" t="s">
        <v>113</v>
      </c>
      <c r="B16" s="22" t="s">
        <v>114</v>
      </c>
      <c r="C16" s="22" t="s">
        <v>115</v>
      </c>
      <c r="D16" s="22" t="s">
        <v>43</v>
      </c>
      <c r="E16" s="21" t="n">
        <v>6</v>
      </c>
      <c r="F16" s="21" t="n">
        <v>0</v>
      </c>
      <c r="G16" s="23" t="n">
        <v>0</v>
      </c>
      <c r="H16" s="21" t="s">
        <v>57</v>
      </c>
      <c r="I16" s="22"/>
    </row>
    <row r="17" customFormat="false" ht="15" hidden="false" customHeight="false" outlineLevel="0" collapsed="false">
      <c r="A17" s="4" t="s">
        <v>116</v>
      </c>
      <c r="B17" s="24" t="s">
        <v>117</v>
      </c>
      <c r="C17" s="24" t="s">
        <v>118</v>
      </c>
      <c r="D17" s="24" t="s">
        <v>23</v>
      </c>
      <c r="E17" s="4" t="n">
        <v>7</v>
      </c>
      <c r="F17" s="4" t="n">
        <v>0</v>
      </c>
      <c r="G17" s="6" t="n">
        <v>0</v>
      </c>
      <c r="H17" s="4" t="s">
        <v>57</v>
      </c>
      <c r="I17" s="24"/>
    </row>
    <row r="18" customFormat="false" ht="15" hidden="false" customHeight="false" outlineLevel="0" collapsed="false">
      <c r="A18" s="21" t="s">
        <v>119</v>
      </c>
      <c r="B18" s="22" t="s">
        <v>120</v>
      </c>
      <c r="C18" s="22" t="s">
        <v>121</v>
      </c>
      <c r="D18" s="22" t="s">
        <v>87</v>
      </c>
      <c r="E18" s="21" t="n">
        <v>5</v>
      </c>
      <c r="F18" s="21" t="n">
        <v>0</v>
      </c>
      <c r="G18" s="23" t="n">
        <v>0</v>
      </c>
      <c r="H18" s="21" t="s">
        <v>57</v>
      </c>
      <c r="I18" s="22"/>
    </row>
    <row r="19" customFormat="false" ht="15" hidden="false" customHeight="false" outlineLevel="0" collapsed="false">
      <c r="A19" s="14" t="s">
        <v>61</v>
      </c>
      <c r="B19" s="12"/>
      <c r="C19" s="12"/>
      <c r="D19" s="12"/>
      <c r="E19" s="14" t="n">
        <f aca="false">SUM(E14:E18)</f>
        <v>34</v>
      </c>
      <c r="F19" s="14" t="n">
        <f aca="false">SUM(F14:F18)</f>
        <v>0</v>
      </c>
      <c r="G19" s="15" t="n">
        <f aca="false">IFERROR(SUMPRODUCT(E14:E18,G14:G18)/SUM(E14:E18),0)</f>
        <v>0</v>
      </c>
      <c r="H19" s="12"/>
      <c r="I19" s="12"/>
    </row>
  </sheetData>
  <mergeCells count="8">
    <mergeCell ref="A1:I1"/>
    <mergeCell ref="B4:C4"/>
    <mergeCell ref="B5:C5"/>
    <mergeCell ref="B6:C6"/>
    <mergeCell ref="B7:C7"/>
    <mergeCell ref="B8:C8"/>
    <mergeCell ref="B9:C9"/>
    <mergeCell ref="B10:C10"/>
  </mergeCells>
  <dataValidations count="3">
    <dataValidation allowBlank="true" errorStyle="stop" operator="between" showDropDown="false" showErrorMessage="false" showInputMessage="false" sqref="B5" type="list">
      <formula1>"Not Started,In Progress,Done,On Track,At Risk,Blocked,On Hold,Complete"</formula1>
      <formula2>0</formula2>
    </dataValidation>
    <dataValidation allowBlank="true" errorStyle="stop" operator="between" showDropDown="false" showErrorMessage="false" showInputMessage="false" sqref="B6" type="list">
      <formula1>"High,Medium,Low"</formula1>
      <formula2>0</formula2>
    </dataValidation>
    <dataValidation allowBlank="true" errorStyle="stop" operator="between" showDropDown="false" showErrorMessage="false" showInputMessage="false" sqref="H14:H18" type="list">
      <formula1>"Not Started,In Progress,Blocked,On Hold,Done"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2026-07-22T17:49:32Z</dcterms:created>
  <dc:creator>openpyxl</dc:creator>
  <dc:description/>
  <dc:language>en-US</dc:language>
  <cp:lastModifiedBy/>
  <dcterms:modified xsi:type="dcterms:W3CDTF">2026-07-22T17:49:32Z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